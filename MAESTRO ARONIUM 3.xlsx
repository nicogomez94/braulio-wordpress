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ust\OneDrive\Desktop\Aronium archivos\MAESTRO\ARONIUM 3\"/>
    </mc:Choice>
  </mc:AlternateContent>
  <xr:revisionPtr revIDLastSave="0" documentId="13_ncr:1_{27301FC7-5CEB-41B0-95C3-606ABB40EDC2}" xr6:coauthVersionLast="37" xr6:coauthVersionMax="37" xr10:uidLastSave="{00000000-0000-0000-0000-000000000000}"/>
  <bookViews>
    <workbookView xWindow="0" yWindow="0" windowWidth="20490" windowHeight="6285" xr2:uid="{677FDBDA-AC32-4DD9-82F4-021D79B21AA3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G6" i="1"/>
  <c r="G7" i="1"/>
  <c r="G8" i="1"/>
  <c r="G9" i="1"/>
  <c r="G10" i="1"/>
  <c r="G11" i="1"/>
  <c r="G12" i="1"/>
  <c r="G13" i="1"/>
  <c r="G14" i="1"/>
  <c r="G15" i="1"/>
  <c r="G3" i="1"/>
  <c r="G4" i="1"/>
  <c r="G5" i="1"/>
  <c r="G2" i="1"/>
  <c r="E14" i="1"/>
  <c r="E13" i="1"/>
  <c r="E12" i="1"/>
  <c r="E15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<sst xmlns="http://schemas.openxmlformats.org/spreadsheetml/2006/main" count="65" uniqueCount="39">
  <si>
    <t>CBL473</t>
  </si>
  <si>
    <t>CABLE PARA PUENTEAR BATERIAS  400 A."ROTTWEILER"</t>
  </si>
  <si>
    <t>.</t>
  </si>
  <si>
    <t>CUC021</t>
  </si>
  <si>
    <t>CUCHARA ALBANIL FORJADA Nº 8 ANSA</t>
  </si>
  <si>
    <t>GRA030</t>
  </si>
  <si>
    <t>GRAMPA PRENSACABLE "LORD" 10MM - 3/8" (28710)</t>
  </si>
  <si>
    <t>GRA033</t>
  </si>
  <si>
    <t>GRAMPA PRENSACABLE "LORD" 16MM - 5/8" (28716)</t>
  </si>
  <si>
    <t>RIC053</t>
  </si>
  <si>
    <t>LLAVE "RICHI" NET5 EXT.1 PULSADOR (279.140.22.01)</t>
  </si>
  <si>
    <t>PIZ080</t>
  </si>
  <si>
    <t>PINZA PICO DE LORO "ROTTWEILER" 10" C/AISLACION</t>
  </si>
  <si>
    <t>PLO018</t>
  </si>
  <si>
    <t>PLOMADA DE ALBAÑIL "ROTTWEILER" 300 GRAMOS</t>
  </si>
  <si>
    <t>ROD105</t>
  </si>
  <si>
    <t>RODILLO ANTIGOTA "PAINT ROLLER" 22 X 40</t>
  </si>
  <si>
    <t>ROD118</t>
  </si>
  <si>
    <t>RODILLO MINI ANTIGOTA "PAINT ROLLER"Nº 8</t>
  </si>
  <si>
    <t>TAR023</t>
  </si>
  <si>
    <t>TARUGOS PY ESPYRAL P/PLACA YESO 8</t>
  </si>
  <si>
    <t>ZAR002</t>
  </si>
  <si>
    <t>ZARANDA "ANEMI" TEJIDO FINO 5003</t>
  </si>
  <si>
    <t>TEN026</t>
  </si>
  <si>
    <t>TENAZA ARMADOR "ROTTWEILER" 11" C/AISLACION</t>
  </si>
  <si>
    <t>TOR565</t>
  </si>
  <si>
    <t>TORNIQUETE Nº6</t>
  </si>
  <si>
    <t>TOR563</t>
  </si>
  <si>
    <t>TORNIQUETE Nº7</t>
  </si>
  <si>
    <t>SKU</t>
  </si>
  <si>
    <t>PRODUCTO</t>
  </si>
  <si>
    <t>COSTO</t>
  </si>
  <si>
    <t>GANANCIA %</t>
  </si>
  <si>
    <t>PRECIO</t>
  </si>
  <si>
    <t>PROVEEDOR</t>
  </si>
  <si>
    <t>CANTIDAD</t>
  </si>
  <si>
    <t>PRECIO REDONDEADO</t>
  </si>
  <si>
    <t>MAESTRO</t>
  </si>
  <si>
    <t>ADVERTENCIA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</si>
</sst>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55812-ABFF-4D61-86A6-BC2388CFF65C}">
  <dimension ref="A1:K15"/>
  <sheetViews>
    <sheetView tabSelected="1" workbookViewId="0">
      <selection activeCell="N6" sqref="N6"/>
    </sheetView>
  </sheetViews>
  <sheetFormatPr baseColWidth="10" defaultRowHeight="15" x14ac:dyDescent="0.25"/>
  <cols>
    <col min="2" max="2" width="31.85546875" customWidth="1"/>
    <col min="8" max="8" width="16.140625" customWidth="1"/>
  </cols>
  <sheetData>
    <row r="1" spans="1:11" x14ac:dyDescent="0.25">
      <c r="A1" t="s">
        <v>29</v>
      </c>
      <c r="B1" t="s">
        <v>30</v>
      </c>
      <c r="E1" t="s">
        <v>31</v>
      </c>
      <c r="F1" t="s">
        <v>32</v>
      </c>
      <c r="G1" t="s">
        <v>33</v>
      </c>
      <c r="H1" t="s">
        <v>36</v>
      </c>
      <c r="I1" t="s">
        <v>35</v>
      </c>
      <c r="J1" t="s">
        <v>34</v>
      </c>
      <c r="K1" t="s">
        <v>38</v>
      </c>
    </row>
    <row r="2" spans="1:11" ht="24.95" customHeight="1" x14ac:dyDescent="0.25">
      <c r="A2" s="1" t="s">
        <v>0</v>
      </c>
      <c r="B2" s="2" t="s">
        <v>1</v>
      </c>
      <c r="C2" s="3">
        <v>17213.208500000001</v>
      </c>
      <c r="D2" s="3" t="s">
        <v>2</v>
      </c>
      <c r="E2" s="4">
        <f t="shared" ref="E2:E15" si="0">C2*0.56</f>
        <v>9639.3967600000014</v>
      </c>
      <c r="F2">
        <v>50</v>
      </c>
      <c r="G2">
        <f>E2*(1+F2/100)</f>
        <v>14459.095140000001</v>
      </c>
      <c r="H2">
        <f>ROUNDUP(G2,-2)</f>
        <v>14500</v>
      </c>
      <c r="I2">
        <v>1</v>
      </c>
      <c r="J2" t="s">
        <v>37</v>
      </c>
      <c r="K2">
        <v>0</v>
      </c>
    </row>
    <row r="3" spans="1:11" ht="24.95" customHeight="1" x14ac:dyDescent="0.25">
      <c r="A3" s="1" t="s">
        <v>3</v>
      </c>
      <c r="B3" s="2" t="s">
        <v>4</v>
      </c>
      <c r="C3" s="3">
        <v>15294.1898</v>
      </c>
      <c r="D3" s="3" t="s">
        <v>2</v>
      </c>
      <c r="E3" s="4">
        <f t="shared" si="0"/>
        <v>8564.7462880000003</v>
      </c>
      <c r="F3">
        <v>50</v>
      </c>
      <c r="G3">
        <f t="shared" ref="G3:G15" si="1">E3*(1+F3/100)</f>
        <v>12847.119432</v>
      </c>
      <c r="H3">
        <f t="shared" ref="H3:H15" si="2">ROUNDUP(G3,-2)</f>
        <v>12900</v>
      </c>
      <c r="I3">
        <v>2</v>
      </c>
      <c r="J3" t="s">
        <v>37</v>
      </c>
      <c r="K3">
        <v>1</v>
      </c>
    </row>
    <row r="4" spans="1:11" ht="24.95" customHeight="1" x14ac:dyDescent="0.25">
      <c r="A4" s="1" t="s">
        <v>5</v>
      </c>
      <c r="B4" s="2" t="s">
        <v>6</v>
      </c>
      <c r="C4" s="3">
        <v>789.81539999999995</v>
      </c>
      <c r="D4" s="3" t="s">
        <v>2</v>
      </c>
      <c r="E4" s="4">
        <f t="shared" si="0"/>
        <v>442.29662400000001</v>
      </c>
      <c r="F4">
        <v>100</v>
      </c>
      <c r="G4">
        <f t="shared" si="1"/>
        <v>884.59324800000002</v>
      </c>
      <c r="H4">
        <f t="shared" si="2"/>
        <v>900</v>
      </c>
      <c r="I4">
        <v>10</v>
      </c>
      <c r="J4" t="s">
        <v>37</v>
      </c>
      <c r="K4">
        <v>3</v>
      </c>
    </row>
    <row r="5" spans="1:11" ht="24.95" customHeight="1" x14ac:dyDescent="0.25">
      <c r="A5" s="1" t="s">
        <v>7</v>
      </c>
      <c r="B5" s="2" t="s">
        <v>8</v>
      </c>
      <c r="C5" s="3">
        <v>2204.136</v>
      </c>
      <c r="D5" s="3" t="s">
        <v>2</v>
      </c>
      <c r="E5" s="4">
        <f t="shared" si="0"/>
        <v>1234.3161600000001</v>
      </c>
      <c r="F5">
        <v>100</v>
      </c>
      <c r="G5">
        <f t="shared" si="1"/>
        <v>2468.6323200000002</v>
      </c>
      <c r="H5">
        <f t="shared" si="2"/>
        <v>2500</v>
      </c>
      <c r="I5">
        <v>10</v>
      </c>
      <c r="J5" t="s">
        <v>37</v>
      </c>
      <c r="K5">
        <v>3</v>
      </c>
    </row>
    <row r="6" spans="1:11" ht="24.95" customHeight="1" x14ac:dyDescent="0.25">
      <c r="A6" s="1" t="s">
        <v>9</v>
      </c>
      <c r="B6" s="2" t="s">
        <v>10</v>
      </c>
      <c r="C6" s="3">
        <v>3009.9524999999999</v>
      </c>
      <c r="D6" s="3" t="s">
        <v>2</v>
      </c>
      <c r="E6" s="4">
        <f t="shared" si="0"/>
        <v>1685.5734</v>
      </c>
      <c r="F6">
        <v>35</v>
      </c>
      <c r="G6">
        <f t="shared" si="1"/>
        <v>2275.5240900000003</v>
      </c>
      <c r="H6">
        <f t="shared" si="2"/>
        <v>2300</v>
      </c>
      <c r="I6">
        <v>6</v>
      </c>
      <c r="J6" t="s">
        <v>37</v>
      </c>
      <c r="K6">
        <v>2</v>
      </c>
    </row>
    <row r="7" spans="1:11" ht="24.95" customHeight="1" x14ac:dyDescent="0.25">
      <c r="A7" s="1" t="s">
        <v>11</v>
      </c>
      <c r="B7" s="2" t="s">
        <v>12</v>
      </c>
      <c r="C7" s="3">
        <v>11842.28</v>
      </c>
      <c r="D7" s="3" t="s">
        <v>2</v>
      </c>
      <c r="E7" s="4">
        <f t="shared" si="0"/>
        <v>6631.6768000000011</v>
      </c>
      <c r="F7">
        <v>50</v>
      </c>
      <c r="G7">
        <f t="shared" si="1"/>
        <v>9947.5152000000016</v>
      </c>
      <c r="H7">
        <f t="shared" si="2"/>
        <v>10000</v>
      </c>
      <c r="I7">
        <v>2</v>
      </c>
      <c r="J7" t="s">
        <v>37</v>
      </c>
      <c r="K7">
        <v>1</v>
      </c>
    </row>
    <row r="8" spans="1:11" ht="24.95" customHeight="1" x14ac:dyDescent="0.25">
      <c r="A8" s="1" t="s">
        <v>13</v>
      </c>
      <c r="B8" s="2" t="s">
        <v>14</v>
      </c>
      <c r="C8" s="3">
        <v>4700.6198999999997</v>
      </c>
      <c r="D8" s="3" t="s">
        <v>2</v>
      </c>
      <c r="E8" s="4">
        <f t="shared" si="0"/>
        <v>2632.3471440000003</v>
      </c>
      <c r="F8">
        <v>50</v>
      </c>
      <c r="G8">
        <f t="shared" si="1"/>
        <v>3948.5207160000004</v>
      </c>
      <c r="H8">
        <f t="shared" si="2"/>
        <v>4000</v>
      </c>
      <c r="I8">
        <v>2</v>
      </c>
      <c r="J8" t="s">
        <v>37</v>
      </c>
      <c r="K8">
        <v>1</v>
      </c>
    </row>
    <row r="9" spans="1:11" ht="24.95" customHeight="1" x14ac:dyDescent="0.25">
      <c r="A9" s="1" t="s">
        <v>15</v>
      </c>
      <c r="B9" s="2" t="s">
        <v>16</v>
      </c>
      <c r="C9" s="3">
        <v>5180.3729999999996</v>
      </c>
      <c r="D9" s="3" t="s">
        <v>2</v>
      </c>
      <c r="E9" s="4">
        <f t="shared" si="0"/>
        <v>2901.0088799999999</v>
      </c>
      <c r="F9">
        <v>35</v>
      </c>
      <c r="G9">
        <f t="shared" si="1"/>
        <v>3916.3619880000001</v>
      </c>
      <c r="H9">
        <f t="shared" si="2"/>
        <v>4000</v>
      </c>
      <c r="I9">
        <v>6</v>
      </c>
      <c r="J9" t="s">
        <v>37</v>
      </c>
      <c r="K9">
        <v>3</v>
      </c>
    </row>
    <row r="10" spans="1:11" ht="24.95" customHeight="1" x14ac:dyDescent="0.25">
      <c r="A10" s="1" t="s">
        <v>17</v>
      </c>
      <c r="B10" s="2" t="s">
        <v>18</v>
      </c>
      <c r="C10" s="3">
        <v>1301.1735000000001</v>
      </c>
      <c r="D10" s="3" t="s">
        <v>2</v>
      </c>
      <c r="E10" s="4">
        <f t="shared" si="0"/>
        <v>728.65716000000009</v>
      </c>
      <c r="F10">
        <v>35</v>
      </c>
      <c r="G10">
        <f t="shared" si="1"/>
        <v>983.68716600000016</v>
      </c>
      <c r="H10">
        <f t="shared" si="2"/>
        <v>1000</v>
      </c>
      <c r="I10">
        <v>12</v>
      </c>
      <c r="J10" t="s">
        <v>37</v>
      </c>
      <c r="K10">
        <v>3</v>
      </c>
    </row>
    <row r="11" spans="1:11" ht="24.95" customHeight="1" x14ac:dyDescent="0.25">
      <c r="A11" s="1" t="s">
        <v>19</v>
      </c>
      <c r="B11" s="2" t="s">
        <v>20</v>
      </c>
      <c r="C11" s="3">
        <v>159.1046</v>
      </c>
      <c r="D11" s="3" t="s">
        <v>2</v>
      </c>
      <c r="E11" s="4">
        <f t="shared" si="0"/>
        <v>89.098576000000008</v>
      </c>
      <c r="F11">
        <v>100</v>
      </c>
      <c r="G11">
        <f t="shared" si="1"/>
        <v>178.19715200000002</v>
      </c>
      <c r="H11">
        <f t="shared" si="2"/>
        <v>200</v>
      </c>
      <c r="I11">
        <v>100</v>
      </c>
      <c r="J11" t="s">
        <v>37</v>
      </c>
      <c r="K11">
        <v>10</v>
      </c>
    </row>
    <row r="12" spans="1:11" ht="24.95" customHeight="1" x14ac:dyDescent="0.25">
      <c r="A12" s="1" t="s">
        <v>23</v>
      </c>
      <c r="B12" s="2" t="s">
        <v>24</v>
      </c>
      <c r="C12" s="3">
        <v>17017.1669</v>
      </c>
      <c r="D12" s="3" t="s">
        <v>2</v>
      </c>
      <c r="E12" s="4">
        <f t="shared" si="0"/>
        <v>9529.6134640000018</v>
      </c>
      <c r="F12">
        <v>50</v>
      </c>
      <c r="G12">
        <f t="shared" si="1"/>
        <v>14294.420196000003</v>
      </c>
      <c r="H12">
        <f t="shared" si="2"/>
        <v>14300</v>
      </c>
      <c r="I12">
        <v>2</v>
      </c>
      <c r="J12" t="s">
        <v>37</v>
      </c>
      <c r="K12">
        <v>1</v>
      </c>
    </row>
    <row r="13" spans="1:11" ht="24.95" customHeight="1" x14ac:dyDescent="0.25">
      <c r="A13" s="1" t="s">
        <v>25</v>
      </c>
      <c r="B13" s="2" t="s">
        <v>26</v>
      </c>
      <c r="C13" s="3">
        <v>6307.9605000000001</v>
      </c>
      <c r="D13" s="3" t="s">
        <v>2</v>
      </c>
      <c r="E13" s="4">
        <f t="shared" si="0"/>
        <v>3532.4578800000004</v>
      </c>
      <c r="F13">
        <v>50</v>
      </c>
      <c r="G13">
        <f t="shared" si="1"/>
        <v>5298.6868200000008</v>
      </c>
      <c r="H13">
        <f t="shared" si="2"/>
        <v>5300</v>
      </c>
      <c r="I13">
        <v>10</v>
      </c>
      <c r="J13" t="s">
        <v>37</v>
      </c>
      <c r="K13">
        <v>3</v>
      </c>
    </row>
    <row r="14" spans="1:11" ht="24.95" customHeight="1" x14ac:dyDescent="0.25">
      <c r="A14" s="1" t="s">
        <v>27</v>
      </c>
      <c r="B14" s="2" t="s">
        <v>28</v>
      </c>
      <c r="C14" s="3">
        <v>5475.2452999999996</v>
      </c>
      <c r="D14" s="3" t="s">
        <v>2</v>
      </c>
      <c r="E14" s="4">
        <f t="shared" si="0"/>
        <v>3066.1373680000002</v>
      </c>
      <c r="F14">
        <v>50</v>
      </c>
      <c r="G14">
        <f t="shared" si="1"/>
        <v>4599.2060520000005</v>
      </c>
      <c r="H14">
        <f t="shared" si="2"/>
        <v>4600</v>
      </c>
      <c r="I14">
        <v>10</v>
      </c>
      <c r="J14" t="s">
        <v>37</v>
      </c>
      <c r="K14">
        <v>3</v>
      </c>
    </row>
    <row r="15" spans="1:11" ht="24.95" customHeight="1" x14ac:dyDescent="0.25">
      <c r="A15" s="1" t="s">
        <v>21</v>
      </c>
      <c r="B15" s="2" t="s">
        <v>22</v>
      </c>
      <c r="C15" s="3">
        <v>20003.669699999999</v>
      </c>
      <c r="D15" s="3" t="s">
        <v>2</v>
      </c>
      <c r="E15" s="4">
        <f t="shared" si="0"/>
        <v>11202.055032</v>
      </c>
      <c r="F15">
        <v>50</v>
      </c>
      <c r="G15">
        <f t="shared" si="1"/>
        <v>16803.082547999998</v>
      </c>
      <c r="H15">
        <f t="shared" si="2"/>
        <v>16900</v>
      </c>
      <c r="I15">
        <v>1</v>
      </c>
      <c r="J15" t="s">
        <v>37</v>
      </c>
      <c r="K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Perez</dc:creator>
  <cp:lastModifiedBy>Agustina Perez</cp:lastModifiedBy>
  <dcterms:created xsi:type="dcterms:W3CDTF">2026-05-16T14:49:08Z</dcterms:created>
  <dcterms:modified xsi:type="dcterms:W3CDTF">2026-05-20T18:22:36Z</dcterms:modified>
</cp:coreProperties>
</file>