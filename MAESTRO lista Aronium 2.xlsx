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t\OneDrive\Desktop\Aronium archivos\MAESTRO\"/>
    </mc:Choice>
  </mc:AlternateContent>
  <xr:revisionPtr revIDLastSave="0" documentId="13_ncr:1_{3502B042-1DDE-473B-91B1-44EDE8BC49B1}" xr6:coauthVersionLast="37" xr6:coauthVersionMax="37" xr10:uidLastSave="{00000000-0000-0000-0000-000000000000}"/>
  <bookViews>
    <workbookView xWindow="0" yWindow="0" windowWidth="20490" windowHeight="6285" xr2:uid="{66E59713-64CB-48F4-8053-26F7223FFA57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H2" i="1"/>
  <c r="E3" i="1" l="1"/>
  <c r="G3" i="1" s="1"/>
  <c r="H3" i="1" s="1"/>
  <c r="E4" i="1"/>
  <c r="G4" i="1" s="1"/>
  <c r="H4" i="1" s="1"/>
  <c r="E5" i="1"/>
  <c r="G5" i="1" s="1"/>
  <c r="H5" i="1" s="1"/>
  <c r="E6" i="1"/>
  <c r="G6" i="1" s="1"/>
  <c r="H6" i="1" s="1"/>
  <c r="G7" i="1"/>
  <c r="H7" i="1" s="1"/>
  <c r="E8" i="1"/>
  <c r="G8" i="1" s="1"/>
  <c r="H8" i="1" s="1"/>
  <c r="E9" i="1"/>
  <c r="G9" i="1" s="1"/>
  <c r="H9" i="1" s="1"/>
  <c r="E10" i="1"/>
  <c r="G10" i="1" s="1"/>
  <c r="H10" i="1" s="1"/>
  <c r="E11" i="1"/>
  <c r="G11" i="1" s="1"/>
  <c r="H11" i="1" s="1"/>
  <c r="E12" i="1"/>
  <c r="G12" i="1" s="1"/>
  <c r="H12" i="1" s="1"/>
  <c r="E13" i="1"/>
  <c r="G13" i="1" s="1"/>
  <c r="H13" i="1" s="1"/>
  <c r="E14" i="1"/>
  <c r="G14" i="1" s="1"/>
  <c r="H14" i="1" s="1"/>
  <c r="E15" i="1"/>
  <c r="G15" i="1" s="1"/>
  <c r="H15" i="1" s="1"/>
  <c r="E16" i="1"/>
  <c r="G16" i="1" s="1"/>
  <c r="H16" i="1" s="1"/>
  <c r="E17" i="1"/>
  <c r="G17" i="1" s="1"/>
  <c r="H17" i="1" s="1"/>
  <c r="E18" i="1"/>
  <c r="G18" i="1" s="1"/>
  <c r="H18" i="1" s="1"/>
  <c r="E19" i="1"/>
  <c r="G19" i="1" s="1"/>
  <c r="H19" i="1" s="1"/>
  <c r="E20" i="1"/>
  <c r="G20" i="1" s="1"/>
  <c r="H20" i="1" s="1"/>
  <c r="E21" i="1"/>
  <c r="G21" i="1" s="1"/>
  <c r="H21" i="1" s="1"/>
  <c r="E22" i="1"/>
  <c r="G22" i="1" s="1"/>
  <c r="H22" i="1" s="1"/>
  <c r="E23" i="1"/>
  <c r="G23" i="1" s="1"/>
  <c r="H23" i="1" s="1"/>
  <c r="E24" i="1"/>
  <c r="G24" i="1" s="1"/>
  <c r="H24" i="1" s="1"/>
  <c r="E25" i="1"/>
  <c r="G25" i="1" s="1"/>
  <c r="H25" i="1" s="1"/>
  <c r="E26" i="1"/>
  <c r="G26" i="1" s="1"/>
  <c r="H26" i="1" s="1"/>
  <c r="E27" i="1"/>
  <c r="G27" i="1" s="1"/>
  <c r="H27" i="1" s="1"/>
  <c r="E28" i="1"/>
  <c r="G28" i="1" s="1"/>
  <c r="H28" i="1" s="1"/>
  <c r="E29" i="1"/>
  <c r="G29" i="1" s="1"/>
  <c r="H29" i="1" s="1"/>
  <c r="E30" i="1"/>
  <c r="G30" i="1" s="1"/>
  <c r="H30" i="1" s="1"/>
  <c r="E31" i="1"/>
  <c r="G31" i="1" s="1"/>
  <c r="H31" i="1" s="1"/>
  <c r="E32" i="1"/>
  <c r="G32" i="1" s="1"/>
  <c r="H32" i="1" s="1"/>
  <c r="E2" i="1"/>
  <c r="G2" i="1" s="1"/>
</calcChain>
</file>

<file path=xl/sharedStrings.xml><?xml version="1.0" encoding="utf-8"?>
<sst xmlns="http://schemas.openxmlformats.org/spreadsheetml/2006/main" count="104" uniqueCount="73">
  <si>
    <t>SKU</t>
  </si>
  <si>
    <t>Producto</t>
  </si>
  <si>
    <t>Costo</t>
  </si>
  <si>
    <t>Cantidad</t>
  </si>
  <si>
    <t>Ganancia (%)</t>
  </si>
  <si>
    <t>Precio</t>
  </si>
  <si>
    <t>Proveedor</t>
  </si>
  <si>
    <t>Precio redondeado</t>
  </si>
  <si>
    <t>Advertencia de Stock bajo</t>
  </si>
  <si>
    <t>PN1411</t>
  </si>
  <si>
    <t>AEROSOL "KUWAIT" ANTIOXIDO GRIS 225 CC</t>
  </si>
  <si>
    <t>PN1435</t>
  </si>
  <si>
    <t>AEROSOL "KUWAIT" ANTIOXIDO GRIS 415 CC</t>
  </si>
  <si>
    <t>PN1587</t>
  </si>
  <si>
    <t>AEROSOL "KUWAIT" CONVERT.OXIDO BLANCO 225 CC</t>
  </si>
  <si>
    <t>PN1586</t>
  </si>
  <si>
    <t>AEROSOL "KUWAIT" CONVERT.OXIDO NEGRO 225 CC</t>
  </si>
  <si>
    <t>PNT692</t>
  </si>
  <si>
    <t>AEROSOL "KUWAIT" ESMALTE GRIS ESPACIAL 415 CC</t>
  </si>
  <si>
    <t>ARA008</t>
  </si>
  <si>
    <t>ARANDELA PLANA ZINC 1/2 X  KG</t>
  </si>
  <si>
    <t>BUL076</t>
  </si>
  <si>
    <t>BULON C/EXAG.GR2 UNC ZINC 1/2 X 1"</t>
  </si>
  <si>
    <t>BUL044</t>
  </si>
  <si>
    <t>BULON C/EXAG.GR2 UNC ZINC 3/8 X 1 1/2"</t>
  </si>
  <si>
    <t>BUL042</t>
  </si>
  <si>
    <t>BULON C/EXAG.GR2 UNC ZINC 3/8 X 1"</t>
  </si>
  <si>
    <t>BUL048</t>
  </si>
  <si>
    <t>BULON C/EXAG.GR2 UNC ZINC 3/8 X 2 1/2"</t>
  </si>
  <si>
    <t>CNL006</t>
  </si>
  <si>
    <t>CANILLA ESFERICA "DUBAI" DE 1/2"</t>
  </si>
  <si>
    <t>SNT023</t>
  </si>
  <si>
    <t>CANILLA LAVARROPA ESFERICA "MOZART" (ART 8587)</t>
  </si>
  <si>
    <t>CAN025</t>
  </si>
  <si>
    <t>CAÑO Hº 1/2" X 4 MTS. P/CORTINA DORADO</t>
  </si>
  <si>
    <t>CAN027</t>
  </si>
  <si>
    <t>CAÑO Hº 3/4" X 4 MTS. P/CORTINA DORADO</t>
  </si>
  <si>
    <t>ADH086</t>
  </si>
  <si>
    <t>ESPUMA POLIURETANO "TACSA" X 500CC</t>
  </si>
  <si>
    <t>MIG024</t>
  </si>
  <si>
    <t>LLAVE "MIG" CAPSULADA 1 PUNTO Y 1 TOMA BINORMA (C819)</t>
  </si>
  <si>
    <t>LLV188</t>
  </si>
  <si>
    <t>LLAVES "RHEIN" COMBINADAS 8 MM</t>
  </si>
  <si>
    <t>MED031</t>
  </si>
  <si>
    <t>MEM043</t>
  </si>
  <si>
    <t>MEMBRANA AUTOADHESIVA "FASTBAND" 0,15 X 10MTS</t>
  </si>
  <si>
    <t>SEG490</t>
  </si>
  <si>
    <t>PROTECTOR AUDITIVO ENDOAURAL C/CORDON REUTILIZABLE "DEPASCALE" (UCU010T)</t>
  </si>
  <si>
    <t>SOP004</t>
  </si>
  <si>
    <t>SOPORTE DE 1/2 LARGO DE HIERRO BRONC. CERRADO</t>
  </si>
  <si>
    <t>SOP008</t>
  </si>
  <si>
    <t>SOPORTE DE 3/4 DE HIERRO BDO.CERRADO</t>
  </si>
  <si>
    <t>TEJ047</t>
  </si>
  <si>
    <t>TUE008</t>
  </si>
  <si>
    <t>TUERCAS EXAG. WHT ZINC. 1/2" (12 HILOS)</t>
  </si>
  <si>
    <t>VAR008</t>
  </si>
  <si>
    <t>VARILLA ROSCADA ZINCADA X UNID. 1/2"</t>
  </si>
  <si>
    <t>VAR006</t>
  </si>
  <si>
    <t>VARILLA ROSCADA ZINCADA X UNID. 3/8"</t>
  </si>
  <si>
    <t>VAR004</t>
  </si>
  <si>
    <t>VARILLA ROSCADA ZINCADA X UNID. 1/4"</t>
  </si>
  <si>
    <t>BIS045</t>
  </si>
  <si>
    <t>BISAGRA MUNICION P/ MADERA75-75 ZIN. AMAR.</t>
  </si>
  <si>
    <t>BIS091</t>
  </si>
  <si>
    <t>BISAGRA P/SOLDAR  60-8 REV C/TAPA "IRMA"</t>
  </si>
  <si>
    <t>BIS093</t>
  </si>
  <si>
    <t>BISAGRA P/SOLDAR  80-8 REV C/TAPA "IRMA"</t>
  </si>
  <si>
    <t>TER013</t>
  </si>
  <si>
    <t>TERRAJA P.V.C. 1/2" - 3/4" - 1" (0649)</t>
  </si>
  <si>
    <t>Costo descuento</t>
  </si>
  <si>
    <t>MAESTRO</t>
  </si>
  <si>
    <t>MEDIA SOMBRA "OSO"  4,20 M X M. PESADA 80% NEGRO (25 017 IC05 007853 C)</t>
  </si>
  <si>
    <t>TEJIDO MOSQUITERO ALUMINIO "OSO" 1,20M X M (25 017 IC05 007512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</si>
</sst>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93E8-9678-42E3-8EE9-FF55E6AE7624}">
  <dimension ref="A1:K32"/>
  <sheetViews>
    <sheetView tabSelected="1" workbookViewId="0">
      <selection activeCell="J33" sqref="J33"/>
    </sheetView>
  </sheetViews>
  <sheetFormatPr baseColWidth="10" defaultRowHeight="15" x14ac:dyDescent="0.25"/>
  <cols>
    <col min="2" max="2" width="50" customWidth="1"/>
    <col min="5" max="5" width="15" customWidth="1"/>
    <col min="8" max="8" width="11.5703125" customWidth="1"/>
    <col min="9" max="9" width="17.7109375" style="6" customWidth="1"/>
    <col min="10" max="10" width="26.85546875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2</v>
      </c>
      <c r="E1" t="s">
        <v>69</v>
      </c>
      <c r="F1" t="s">
        <v>4</v>
      </c>
      <c r="G1" t="s">
        <v>5</v>
      </c>
      <c r="H1" t="s">
        <v>7</v>
      </c>
      <c r="I1" s="6" t="s">
        <v>6</v>
      </c>
      <c r="J1" t="s">
        <v>8</v>
      </c>
      <c r="K1" t="s">
        <v>8</v>
      </c>
    </row>
    <row r="2" spans="1:11" x14ac:dyDescent="0.25">
      <c r="A2" s="1" t="s">
        <v>9</v>
      </c>
      <c r="B2" s="2" t="s">
        <v>10</v>
      </c>
      <c r="C2">
        <v>3</v>
      </c>
      <c r="D2" s="3">
        <v>5383.5</v>
      </c>
      <c r="E2" s="3">
        <f>D2*0.56</f>
        <v>3014.76</v>
      </c>
      <c r="F2">
        <v>35</v>
      </c>
      <c r="G2" s="4">
        <f>E2*(1+F2/100)</f>
        <v>4069.9260000000004</v>
      </c>
      <c r="H2" s="5">
        <f>ROUNDUP(G2,-2)</f>
        <v>4100</v>
      </c>
      <c r="I2" s="6" t="s">
        <v>70</v>
      </c>
      <c r="J2">
        <v>1</v>
      </c>
    </row>
    <row r="3" spans="1:11" x14ac:dyDescent="0.25">
      <c r="A3" s="1" t="s">
        <v>11</v>
      </c>
      <c r="B3" s="2" t="s">
        <v>12</v>
      </c>
      <c r="C3">
        <v>3</v>
      </c>
      <c r="D3" s="3">
        <v>8745.67</v>
      </c>
      <c r="E3" s="3">
        <f t="shared" ref="E3:E32" si="0">D3*0.56</f>
        <v>4897.5752000000002</v>
      </c>
      <c r="F3">
        <v>35</v>
      </c>
      <c r="G3" s="4">
        <f t="shared" ref="G3:G32" si="1">E3*(1+F3/100)</f>
        <v>6611.7265200000011</v>
      </c>
      <c r="H3" s="5">
        <f t="shared" ref="H3:H32" si="2">ROUNDUP(G3,-2)</f>
        <v>6700</v>
      </c>
      <c r="I3" s="6" t="s">
        <v>70</v>
      </c>
      <c r="J3">
        <v>1</v>
      </c>
    </row>
    <row r="4" spans="1:11" x14ac:dyDescent="0.25">
      <c r="A4" s="1" t="s">
        <v>13</v>
      </c>
      <c r="B4" s="2" t="s">
        <v>14</v>
      </c>
      <c r="C4">
        <v>3</v>
      </c>
      <c r="D4" s="3">
        <v>6272.8</v>
      </c>
      <c r="E4" s="3">
        <f t="shared" si="0"/>
        <v>3512.7680000000005</v>
      </c>
      <c r="F4">
        <v>35</v>
      </c>
      <c r="G4" s="4">
        <f t="shared" si="1"/>
        <v>4742.2368000000006</v>
      </c>
      <c r="H4" s="5">
        <f t="shared" si="2"/>
        <v>4800</v>
      </c>
      <c r="I4" s="6" t="s">
        <v>70</v>
      </c>
      <c r="J4">
        <v>1</v>
      </c>
    </row>
    <row r="5" spans="1:11" x14ac:dyDescent="0.25">
      <c r="A5" s="1" t="s">
        <v>15</v>
      </c>
      <c r="B5" s="2" t="s">
        <v>16</v>
      </c>
      <c r="C5">
        <v>3</v>
      </c>
      <c r="D5" s="3">
        <v>6272.8</v>
      </c>
      <c r="E5" s="3">
        <f t="shared" si="0"/>
        <v>3512.7680000000005</v>
      </c>
      <c r="F5">
        <v>35</v>
      </c>
      <c r="G5" s="4">
        <f t="shared" si="1"/>
        <v>4742.2368000000006</v>
      </c>
      <c r="H5" s="5">
        <f t="shared" si="2"/>
        <v>4800</v>
      </c>
      <c r="I5" s="6" t="s">
        <v>70</v>
      </c>
      <c r="J5">
        <v>1</v>
      </c>
    </row>
    <row r="6" spans="1:11" x14ac:dyDescent="0.25">
      <c r="A6" s="1" t="s">
        <v>17</v>
      </c>
      <c r="B6" s="2" t="s">
        <v>18</v>
      </c>
      <c r="C6">
        <v>3</v>
      </c>
      <c r="D6" s="3">
        <v>8745.67</v>
      </c>
      <c r="E6" s="3">
        <f t="shared" si="0"/>
        <v>4897.5752000000002</v>
      </c>
      <c r="F6">
        <v>35</v>
      </c>
      <c r="G6" s="4">
        <f t="shared" si="1"/>
        <v>6611.7265200000011</v>
      </c>
      <c r="H6" s="5">
        <f t="shared" si="2"/>
        <v>6700</v>
      </c>
      <c r="I6" s="6" t="s">
        <v>70</v>
      </c>
      <c r="J6">
        <v>1</v>
      </c>
    </row>
    <row r="7" spans="1:11" x14ac:dyDescent="0.25">
      <c r="A7" s="1" t="s">
        <v>19</v>
      </c>
      <c r="B7" s="2" t="s">
        <v>20</v>
      </c>
      <c r="C7">
        <v>78</v>
      </c>
      <c r="D7" s="3">
        <v>106</v>
      </c>
      <c r="E7" s="3">
        <f>D7*0.56</f>
        <v>59.360000000000007</v>
      </c>
      <c r="F7">
        <v>100</v>
      </c>
      <c r="G7" s="4">
        <f t="shared" si="1"/>
        <v>118.72000000000001</v>
      </c>
      <c r="H7" s="5">
        <f t="shared" si="2"/>
        <v>200</v>
      </c>
      <c r="I7" s="6" t="s">
        <v>70</v>
      </c>
      <c r="J7">
        <v>20</v>
      </c>
    </row>
    <row r="8" spans="1:11" x14ac:dyDescent="0.25">
      <c r="A8" s="1" t="s">
        <v>21</v>
      </c>
      <c r="B8" s="2" t="s">
        <v>22</v>
      </c>
      <c r="C8">
        <v>50</v>
      </c>
      <c r="D8" s="3">
        <v>337.70519999999999</v>
      </c>
      <c r="E8" s="3">
        <f t="shared" si="0"/>
        <v>189.114912</v>
      </c>
      <c r="F8">
        <v>100</v>
      </c>
      <c r="G8" s="4">
        <f t="shared" si="1"/>
        <v>378.22982400000001</v>
      </c>
      <c r="H8" s="5">
        <f t="shared" si="2"/>
        <v>400</v>
      </c>
      <c r="I8" s="6" t="s">
        <v>70</v>
      </c>
      <c r="J8">
        <v>10</v>
      </c>
    </row>
    <row r="9" spans="1:11" x14ac:dyDescent="0.25">
      <c r="A9" s="1" t="s">
        <v>23</v>
      </c>
      <c r="B9" s="2" t="s">
        <v>24</v>
      </c>
      <c r="C9">
        <v>50</v>
      </c>
      <c r="D9" s="3">
        <v>193.84139999999999</v>
      </c>
      <c r="E9" s="3">
        <f t="shared" si="0"/>
        <v>108.55118400000001</v>
      </c>
      <c r="F9">
        <v>100</v>
      </c>
      <c r="G9" s="4">
        <f t="shared" si="1"/>
        <v>217.10236800000001</v>
      </c>
      <c r="H9" s="5">
        <f t="shared" si="2"/>
        <v>300</v>
      </c>
      <c r="I9" s="6" t="s">
        <v>70</v>
      </c>
      <c r="J9">
        <v>10</v>
      </c>
    </row>
    <row r="10" spans="1:11" x14ac:dyDescent="0.25">
      <c r="A10" s="1" t="s">
        <v>25</v>
      </c>
      <c r="B10" s="2" t="s">
        <v>26</v>
      </c>
      <c r="C10">
        <v>50</v>
      </c>
      <c r="D10" s="3">
        <v>152.06540000000001</v>
      </c>
      <c r="E10" s="3">
        <f t="shared" si="0"/>
        <v>85.156624000000008</v>
      </c>
      <c r="F10">
        <v>100</v>
      </c>
      <c r="G10" s="4">
        <f t="shared" si="1"/>
        <v>170.31324800000002</v>
      </c>
      <c r="H10" s="5">
        <f t="shared" si="2"/>
        <v>200</v>
      </c>
      <c r="I10" s="6" t="s">
        <v>70</v>
      </c>
      <c r="J10">
        <v>10</v>
      </c>
    </row>
    <row r="11" spans="1:11" x14ac:dyDescent="0.25">
      <c r="A11" s="1" t="s">
        <v>27</v>
      </c>
      <c r="B11" s="2" t="s">
        <v>28</v>
      </c>
      <c r="C11">
        <v>50</v>
      </c>
      <c r="D11" s="3">
        <v>318.32479999999998</v>
      </c>
      <c r="E11" s="3">
        <f t="shared" si="0"/>
        <v>178.261888</v>
      </c>
      <c r="F11">
        <v>100</v>
      </c>
      <c r="G11" s="4">
        <f t="shared" si="1"/>
        <v>356.523776</v>
      </c>
      <c r="H11" s="5">
        <f t="shared" si="2"/>
        <v>400</v>
      </c>
      <c r="I11" s="6" t="s">
        <v>70</v>
      </c>
      <c r="J11">
        <v>10</v>
      </c>
    </row>
    <row r="12" spans="1:11" x14ac:dyDescent="0.25">
      <c r="A12" s="1" t="s">
        <v>29</v>
      </c>
      <c r="B12" s="2" t="s">
        <v>30</v>
      </c>
      <c r="C12">
        <v>5</v>
      </c>
      <c r="D12" s="3">
        <v>5933.7776000000003</v>
      </c>
      <c r="E12" s="3">
        <f t="shared" si="0"/>
        <v>3322.9154560000006</v>
      </c>
      <c r="F12">
        <v>35</v>
      </c>
      <c r="G12" s="4">
        <f t="shared" si="1"/>
        <v>4485.9358656000013</v>
      </c>
      <c r="H12" s="5">
        <f t="shared" si="2"/>
        <v>4500</v>
      </c>
      <c r="I12" s="6" t="s">
        <v>70</v>
      </c>
      <c r="J12">
        <v>2</v>
      </c>
    </row>
    <row r="13" spans="1:11" x14ac:dyDescent="0.25">
      <c r="A13" s="1" t="s">
        <v>31</v>
      </c>
      <c r="B13" s="2" t="s">
        <v>32</v>
      </c>
      <c r="C13">
        <v>3</v>
      </c>
      <c r="D13" s="3">
        <v>18542.939999999999</v>
      </c>
      <c r="E13" s="3">
        <f t="shared" si="0"/>
        <v>10384.046400000001</v>
      </c>
      <c r="F13">
        <v>35</v>
      </c>
      <c r="G13" s="4">
        <f t="shared" si="1"/>
        <v>14018.462640000002</v>
      </c>
      <c r="H13" s="5">
        <f t="shared" si="2"/>
        <v>14100</v>
      </c>
      <c r="I13" s="6" t="s">
        <v>70</v>
      </c>
      <c r="J13">
        <v>1</v>
      </c>
    </row>
    <row r="14" spans="1:11" x14ac:dyDescent="0.25">
      <c r="A14" s="1" t="s">
        <v>33</v>
      </c>
      <c r="B14" s="2" t="s">
        <v>34</v>
      </c>
      <c r="C14">
        <v>3</v>
      </c>
      <c r="D14" s="3">
        <v>8071.7406000000001</v>
      </c>
      <c r="E14" s="3">
        <f t="shared" si="0"/>
        <v>4520.1747360000008</v>
      </c>
      <c r="F14">
        <v>35</v>
      </c>
      <c r="G14" s="4">
        <f t="shared" si="1"/>
        <v>6102.2358936000019</v>
      </c>
      <c r="H14" s="5">
        <f t="shared" si="2"/>
        <v>6200</v>
      </c>
      <c r="I14" s="6" t="s">
        <v>70</v>
      </c>
      <c r="J14">
        <v>1</v>
      </c>
    </row>
    <row r="15" spans="1:11" x14ac:dyDescent="0.25">
      <c r="A15" s="1" t="s">
        <v>35</v>
      </c>
      <c r="B15" s="2" t="s">
        <v>36</v>
      </c>
      <c r="C15">
        <v>3</v>
      </c>
      <c r="D15" s="3">
        <v>11610.947</v>
      </c>
      <c r="E15" s="3">
        <f t="shared" si="0"/>
        <v>6502.1303200000011</v>
      </c>
      <c r="F15">
        <v>35</v>
      </c>
      <c r="G15" s="4">
        <f t="shared" si="1"/>
        <v>8777.8759320000026</v>
      </c>
      <c r="H15" s="5">
        <f t="shared" si="2"/>
        <v>8800</v>
      </c>
      <c r="I15" s="6" t="s">
        <v>70</v>
      </c>
      <c r="J15">
        <v>1</v>
      </c>
    </row>
    <row r="16" spans="1:11" x14ac:dyDescent="0.25">
      <c r="A16" s="1" t="s">
        <v>37</v>
      </c>
      <c r="B16" s="2" t="s">
        <v>38</v>
      </c>
      <c r="C16">
        <v>3</v>
      </c>
      <c r="D16" s="3">
        <v>15465.532300000001</v>
      </c>
      <c r="E16" s="3">
        <f t="shared" si="0"/>
        <v>8660.698088000001</v>
      </c>
      <c r="F16">
        <v>35</v>
      </c>
      <c r="G16" s="4">
        <f t="shared" si="1"/>
        <v>11691.942418800003</v>
      </c>
      <c r="H16" s="5">
        <f t="shared" si="2"/>
        <v>11700</v>
      </c>
      <c r="I16" s="6" t="s">
        <v>70</v>
      </c>
      <c r="J16">
        <v>1</v>
      </c>
    </row>
    <row r="17" spans="1:10" x14ac:dyDescent="0.25">
      <c r="A17" s="1" t="s">
        <v>39</v>
      </c>
      <c r="B17" s="2" t="s">
        <v>40</v>
      </c>
      <c r="C17">
        <v>10</v>
      </c>
      <c r="D17" s="3">
        <v>9333.6882999999998</v>
      </c>
      <c r="E17" s="3">
        <f t="shared" si="0"/>
        <v>5226.8654480000005</v>
      </c>
      <c r="F17">
        <v>35</v>
      </c>
      <c r="G17" s="4">
        <f t="shared" si="1"/>
        <v>7056.2683548000014</v>
      </c>
      <c r="H17" s="5">
        <f t="shared" si="2"/>
        <v>7100</v>
      </c>
      <c r="I17" s="6" t="s">
        <v>70</v>
      </c>
      <c r="J17">
        <v>3</v>
      </c>
    </row>
    <row r="18" spans="1:10" x14ac:dyDescent="0.25">
      <c r="A18" s="1" t="s">
        <v>41</v>
      </c>
      <c r="B18" s="2" t="s">
        <v>42</v>
      </c>
      <c r="C18">
        <v>2</v>
      </c>
      <c r="D18" s="3">
        <v>4162.665</v>
      </c>
      <c r="E18" s="3">
        <f t="shared" si="0"/>
        <v>2331.0924</v>
      </c>
      <c r="F18">
        <v>35</v>
      </c>
      <c r="G18" s="4">
        <f t="shared" si="1"/>
        <v>3146.9747400000001</v>
      </c>
      <c r="H18" s="5">
        <f t="shared" si="2"/>
        <v>3200</v>
      </c>
      <c r="I18" s="6" t="s">
        <v>70</v>
      </c>
      <c r="J18">
        <v>1</v>
      </c>
    </row>
    <row r="19" spans="1:10" x14ac:dyDescent="0.25">
      <c r="A19" s="1" t="s">
        <v>43</v>
      </c>
      <c r="B19" s="2" t="s">
        <v>71</v>
      </c>
      <c r="C19">
        <v>50</v>
      </c>
      <c r="D19" s="3">
        <v>4791.6499999999996</v>
      </c>
      <c r="E19" s="3">
        <f t="shared" si="0"/>
        <v>2683.3240000000001</v>
      </c>
      <c r="F19">
        <v>35</v>
      </c>
      <c r="G19" s="4">
        <f t="shared" si="1"/>
        <v>3622.4874000000004</v>
      </c>
      <c r="H19" s="5">
        <f t="shared" si="2"/>
        <v>3700</v>
      </c>
      <c r="I19" s="6" t="s">
        <v>70</v>
      </c>
      <c r="J19">
        <v>20</v>
      </c>
    </row>
    <row r="20" spans="1:10" x14ac:dyDescent="0.25">
      <c r="A20" s="1" t="s">
        <v>44</v>
      </c>
      <c r="B20" s="2" t="s">
        <v>45</v>
      </c>
      <c r="C20">
        <v>3</v>
      </c>
      <c r="D20" s="3">
        <v>32435.61</v>
      </c>
      <c r="E20" s="3">
        <f t="shared" si="0"/>
        <v>18163.941600000002</v>
      </c>
      <c r="F20">
        <v>35</v>
      </c>
      <c r="G20" s="4">
        <f t="shared" si="1"/>
        <v>24521.321160000003</v>
      </c>
      <c r="H20" s="5">
        <f t="shared" si="2"/>
        <v>24600</v>
      </c>
      <c r="I20" s="6" t="s">
        <v>70</v>
      </c>
      <c r="J20">
        <v>1</v>
      </c>
    </row>
    <row r="21" spans="1:10" x14ac:dyDescent="0.25">
      <c r="A21" s="1" t="s">
        <v>46</v>
      </c>
      <c r="B21" s="2" t="s">
        <v>47</v>
      </c>
      <c r="C21">
        <v>10</v>
      </c>
      <c r="D21" s="3">
        <v>1132.56</v>
      </c>
      <c r="E21" s="3">
        <f t="shared" si="0"/>
        <v>634.23360000000002</v>
      </c>
      <c r="F21">
        <v>35</v>
      </c>
      <c r="G21" s="4">
        <f t="shared" si="1"/>
        <v>856.21536000000003</v>
      </c>
      <c r="H21" s="5">
        <f t="shared" si="2"/>
        <v>900</v>
      </c>
      <c r="I21" s="6" t="s">
        <v>70</v>
      </c>
      <c r="J21">
        <v>3</v>
      </c>
    </row>
    <row r="22" spans="1:10" x14ac:dyDescent="0.25">
      <c r="A22" s="1" t="s">
        <v>48</v>
      </c>
      <c r="B22" s="2" t="s">
        <v>49</v>
      </c>
      <c r="C22">
        <v>20</v>
      </c>
      <c r="D22" s="3">
        <v>955.59749999999997</v>
      </c>
      <c r="E22" s="3">
        <f t="shared" si="0"/>
        <v>535.13459999999998</v>
      </c>
      <c r="F22">
        <v>35</v>
      </c>
      <c r="G22" s="4">
        <f t="shared" si="1"/>
        <v>722.43171000000007</v>
      </c>
      <c r="H22" s="5">
        <f t="shared" si="2"/>
        <v>800</v>
      </c>
      <c r="I22" s="6" t="s">
        <v>70</v>
      </c>
      <c r="J22">
        <v>5</v>
      </c>
    </row>
    <row r="23" spans="1:10" x14ac:dyDescent="0.25">
      <c r="A23" s="1" t="s">
        <v>50</v>
      </c>
      <c r="B23" s="2" t="s">
        <v>51</v>
      </c>
      <c r="C23">
        <v>20</v>
      </c>
      <c r="D23" s="3">
        <v>1103.0899999999999</v>
      </c>
      <c r="E23" s="3">
        <f t="shared" si="0"/>
        <v>617.73040000000003</v>
      </c>
      <c r="F23">
        <v>35</v>
      </c>
      <c r="G23" s="4">
        <f t="shared" si="1"/>
        <v>833.93604000000005</v>
      </c>
      <c r="H23" s="5">
        <f t="shared" si="2"/>
        <v>900</v>
      </c>
      <c r="I23" s="6" t="s">
        <v>70</v>
      </c>
      <c r="J23">
        <v>5</v>
      </c>
    </row>
    <row r="24" spans="1:10" x14ac:dyDescent="0.25">
      <c r="A24" s="1" t="s">
        <v>52</v>
      </c>
      <c r="B24" s="2" t="s">
        <v>72</v>
      </c>
      <c r="C24">
        <v>30</v>
      </c>
      <c r="D24" s="3">
        <v>6802</v>
      </c>
      <c r="E24" s="3">
        <f t="shared" si="0"/>
        <v>3809.1200000000003</v>
      </c>
      <c r="F24">
        <v>35</v>
      </c>
      <c r="G24" s="4">
        <f t="shared" si="1"/>
        <v>5142.3120000000008</v>
      </c>
      <c r="H24" s="5">
        <f t="shared" si="2"/>
        <v>5200</v>
      </c>
      <c r="I24" s="6" t="s">
        <v>70</v>
      </c>
      <c r="J24">
        <v>10</v>
      </c>
    </row>
    <row r="25" spans="1:10" x14ac:dyDescent="0.25">
      <c r="A25" s="1" t="s">
        <v>53</v>
      </c>
      <c r="B25" s="2" t="s">
        <v>54</v>
      </c>
      <c r="C25">
        <v>100</v>
      </c>
      <c r="D25" s="3">
        <v>145.65719999999999</v>
      </c>
      <c r="E25" s="3">
        <f t="shared" si="0"/>
        <v>81.568032000000002</v>
      </c>
      <c r="F25">
        <v>100</v>
      </c>
      <c r="G25" s="4">
        <f t="shared" si="1"/>
        <v>163.136064</v>
      </c>
      <c r="H25" s="5">
        <f t="shared" si="2"/>
        <v>200</v>
      </c>
      <c r="I25" s="6" t="s">
        <v>70</v>
      </c>
      <c r="J25">
        <v>20</v>
      </c>
    </row>
    <row r="26" spans="1:10" x14ac:dyDescent="0.25">
      <c r="A26" s="1" t="s">
        <v>55</v>
      </c>
      <c r="B26" s="2" t="s">
        <v>56</v>
      </c>
      <c r="C26">
        <v>5</v>
      </c>
      <c r="D26" s="3">
        <v>5441.6677</v>
      </c>
      <c r="E26" s="3">
        <f t="shared" si="0"/>
        <v>3047.3339120000001</v>
      </c>
      <c r="F26">
        <v>35</v>
      </c>
      <c r="G26" s="4">
        <f t="shared" si="1"/>
        <v>4113.9007812</v>
      </c>
      <c r="H26" s="5">
        <f t="shared" si="2"/>
        <v>4200</v>
      </c>
      <c r="I26" s="6" t="s">
        <v>70</v>
      </c>
      <c r="J26">
        <v>2</v>
      </c>
    </row>
    <row r="27" spans="1:10" x14ac:dyDescent="0.25">
      <c r="A27" s="1" t="s">
        <v>57</v>
      </c>
      <c r="B27" s="2" t="s">
        <v>58</v>
      </c>
      <c r="C27">
        <v>5</v>
      </c>
      <c r="D27" s="3">
        <v>3100.4774000000002</v>
      </c>
      <c r="E27" s="3">
        <f t="shared" si="0"/>
        <v>1736.2673440000003</v>
      </c>
      <c r="F27">
        <v>35</v>
      </c>
      <c r="G27" s="4">
        <f t="shared" si="1"/>
        <v>2343.9609144000005</v>
      </c>
      <c r="H27" s="5">
        <f t="shared" si="2"/>
        <v>2400</v>
      </c>
      <c r="I27" s="6" t="s">
        <v>70</v>
      </c>
      <c r="J27">
        <v>2</v>
      </c>
    </row>
    <row r="28" spans="1:10" x14ac:dyDescent="0.25">
      <c r="A28" s="1" t="s">
        <v>59</v>
      </c>
      <c r="B28" s="2" t="s">
        <v>60</v>
      </c>
      <c r="C28">
        <v>5</v>
      </c>
      <c r="D28" s="3">
        <v>1415.7</v>
      </c>
      <c r="E28" s="3">
        <f t="shared" si="0"/>
        <v>792.79200000000014</v>
      </c>
      <c r="F28">
        <v>35</v>
      </c>
      <c r="G28" s="4">
        <f t="shared" si="1"/>
        <v>1070.2692000000002</v>
      </c>
      <c r="H28" s="5">
        <f t="shared" si="2"/>
        <v>1100</v>
      </c>
      <c r="I28" s="6" t="s">
        <v>70</v>
      </c>
      <c r="J28">
        <v>2</v>
      </c>
    </row>
    <row r="29" spans="1:10" x14ac:dyDescent="0.25">
      <c r="A29" s="1" t="s">
        <v>61</v>
      </c>
      <c r="B29" s="2" t="s">
        <v>62</v>
      </c>
      <c r="C29">
        <v>12</v>
      </c>
      <c r="D29" s="3">
        <v>2492.2759999999998</v>
      </c>
      <c r="E29" s="3">
        <f t="shared" si="0"/>
        <v>1395.6745600000002</v>
      </c>
      <c r="F29">
        <v>35</v>
      </c>
      <c r="G29" s="4">
        <f t="shared" si="1"/>
        <v>1884.1606560000002</v>
      </c>
      <c r="H29" s="5">
        <f t="shared" si="2"/>
        <v>1900</v>
      </c>
      <c r="I29" s="6" t="s">
        <v>70</v>
      </c>
      <c r="J29">
        <v>5</v>
      </c>
    </row>
    <row r="30" spans="1:10" x14ac:dyDescent="0.25">
      <c r="A30" s="1" t="s">
        <v>63</v>
      </c>
      <c r="B30" s="2" t="s">
        <v>64</v>
      </c>
      <c r="C30">
        <v>24</v>
      </c>
      <c r="D30" s="3">
        <v>793.04560000000004</v>
      </c>
      <c r="E30" s="3">
        <f t="shared" si="0"/>
        <v>444.10553600000009</v>
      </c>
      <c r="F30">
        <v>35</v>
      </c>
      <c r="G30" s="4">
        <f t="shared" si="1"/>
        <v>599.54247360000011</v>
      </c>
      <c r="H30" s="5">
        <f t="shared" si="2"/>
        <v>600</v>
      </c>
      <c r="I30" s="6" t="s">
        <v>70</v>
      </c>
      <c r="J30">
        <v>5</v>
      </c>
    </row>
    <row r="31" spans="1:10" x14ac:dyDescent="0.25">
      <c r="A31" s="1" t="s">
        <v>65</v>
      </c>
      <c r="B31" s="2" t="s">
        <v>66</v>
      </c>
      <c r="C31">
        <v>24</v>
      </c>
      <c r="D31" s="3">
        <v>990.44510000000002</v>
      </c>
      <c r="E31" s="3">
        <f t="shared" si="0"/>
        <v>554.64925600000004</v>
      </c>
      <c r="F31">
        <v>35</v>
      </c>
      <c r="G31" s="4">
        <f t="shared" si="1"/>
        <v>748.77649560000009</v>
      </c>
      <c r="H31" s="5">
        <f t="shared" si="2"/>
        <v>800</v>
      </c>
      <c r="I31" s="6" t="s">
        <v>70</v>
      </c>
      <c r="J31">
        <v>5</v>
      </c>
    </row>
    <row r="32" spans="1:10" x14ac:dyDescent="0.25">
      <c r="A32" s="1" t="s">
        <v>67</v>
      </c>
      <c r="B32" s="2" t="s">
        <v>68</v>
      </c>
      <c r="C32">
        <v>2</v>
      </c>
      <c r="D32" s="3">
        <v>16114.78</v>
      </c>
      <c r="E32" s="3">
        <f t="shared" si="0"/>
        <v>9024.2768000000015</v>
      </c>
      <c r="F32">
        <v>35</v>
      </c>
      <c r="G32" s="4">
        <f t="shared" si="1"/>
        <v>12182.773680000002</v>
      </c>
      <c r="H32" s="5">
        <f t="shared" si="2"/>
        <v>12200</v>
      </c>
      <c r="I32" s="6" t="s">
        <v>70</v>
      </c>
      <c r="J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Perez</dc:creator>
  <cp:lastModifiedBy>Agustina Perez</cp:lastModifiedBy>
  <dcterms:created xsi:type="dcterms:W3CDTF">2026-05-01T15:42:52Z</dcterms:created>
  <dcterms:modified xsi:type="dcterms:W3CDTF">2026-05-01T17:22:14Z</dcterms:modified>
</cp:coreProperties>
</file>